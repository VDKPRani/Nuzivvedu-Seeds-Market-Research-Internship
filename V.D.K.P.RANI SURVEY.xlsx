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853f5d025a49ef/Desktop/"/>
    </mc:Choice>
  </mc:AlternateContent>
  <xr:revisionPtr revIDLastSave="496" documentId="13_ncr:1_{1E35F155-4B13-44E9-A4C0-F55A79A847CB}" xr6:coauthVersionLast="47" xr6:coauthVersionMax="47" xr10:uidLastSave="{94476C3D-09F5-40ED-BDB8-36BF77A4F409}"/>
  <bookViews>
    <workbookView xWindow="-108" yWindow="-108" windowWidth="23256" windowHeight="12456" xr2:uid="{4922C504-5FB4-43FA-A780-498957CA6DF5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4" l="1"/>
  <c r="F31" i="3"/>
  <c r="E37" i="2"/>
  <c r="E23" i="1"/>
</calcChain>
</file>

<file path=xl/sharedStrings.xml><?xml version="1.0" encoding="utf-8"?>
<sst xmlns="http://schemas.openxmlformats.org/spreadsheetml/2006/main" count="445" uniqueCount="217">
  <si>
    <t>S.NO</t>
  </si>
  <si>
    <t>NAME</t>
  </si>
  <si>
    <t>FATHER'S NAME</t>
  </si>
  <si>
    <t>GOTTATI JANARDHAN</t>
  </si>
  <si>
    <t>G. CHRISTOPHER</t>
  </si>
  <si>
    <t xml:space="preserve">WINNER </t>
  </si>
  <si>
    <t>ARAMANDA YESAYYA</t>
  </si>
  <si>
    <t>A.ABRAHAM</t>
  </si>
  <si>
    <t>JALADHI VIJAY BABU</t>
  </si>
  <si>
    <t>J. JOHN BHASKAR RAO</t>
  </si>
  <si>
    <t>MALLELA ANKARAO</t>
  </si>
  <si>
    <t>M. GEORGE</t>
  </si>
  <si>
    <t>KALINTHA  MANORAJU</t>
  </si>
  <si>
    <t>K. KARUNACHALAM</t>
  </si>
  <si>
    <t>RAYANA PRABHUDASU</t>
  </si>
  <si>
    <t>R. YESAYYA</t>
  </si>
  <si>
    <t>GUNTUPALLI VEERAYYA</t>
  </si>
  <si>
    <t>G. SRINIVASA RAO</t>
  </si>
  <si>
    <t>GUNTUPALLI VARAPRASAD</t>
  </si>
  <si>
    <t>G. VENKATESWARAO</t>
  </si>
  <si>
    <t>GUNTUPALLI SAMBASIVARAO</t>
  </si>
  <si>
    <t>G. SUDHAKAR RAO</t>
  </si>
  <si>
    <t>VARIKUTI BHASAVAYYA</t>
  </si>
  <si>
    <t>V. PUNNAIAH</t>
  </si>
  <si>
    <t>MANCHALA NANI</t>
  </si>
  <si>
    <t>M.KOTESWARAO</t>
  </si>
  <si>
    <t>KOLLI KOTESWARAO</t>
  </si>
  <si>
    <t>K. SAMBASIVARAO</t>
  </si>
  <si>
    <t>DASARI KOTESWARAO</t>
  </si>
  <si>
    <t>D. VEERAYYA</t>
  </si>
  <si>
    <t>MAILA RAVIKISHORE</t>
  </si>
  <si>
    <t>WINNER</t>
  </si>
  <si>
    <t>MALLELA DHANA RAJU</t>
  </si>
  <si>
    <t>MALLELA BABURAO</t>
  </si>
  <si>
    <t>TANAM PREMAIAH</t>
  </si>
  <si>
    <t>TANAM KOTESWARAO</t>
  </si>
  <si>
    <t>KANAPARTHI DILEEP</t>
  </si>
  <si>
    <t>YEDLU SAMUEL</t>
  </si>
  <si>
    <t>INTEREST IN SOWING IN NEXT YEAR</t>
  </si>
  <si>
    <t>YES</t>
  </si>
  <si>
    <t>NO</t>
  </si>
  <si>
    <t>NOT DECIDED YET</t>
  </si>
  <si>
    <t>MUCCHU RAMOHANARAO</t>
  </si>
  <si>
    <t>DANDAMUDI GANESH</t>
  </si>
  <si>
    <t>GOGIREDDI PRAMEELA DEVI</t>
  </si>
  <si>
    <t>DAMACHARLA SURESH VASANTHA BABU</t>
  </si>
  <si>
    <t>KUCHIPUDI SUDHEER BABU</t>
  </si>
  <si>
    <t>GUNTI NARASIMHA RAO</t>
  </si>
  <si>
    <t>VASIREDDI SRINIVASARAO</t>
  </si>
  <si>
    <t>THALASILA SUDHARANI</t>
  </si>
  <si>
    <t>GUNTI RAM BABU</t>
  </si>
  <si>
    <t>KURIYA PRASHANTI</t>
  </si>
  <si>
    <t>K. SIVAIAH</t>
  </si>
  <si>
    <t>D. BABU</t>
  </si>
  <si>
    <t>K. ANAJARAO</t>
  </si>
  <si>
    <t>D. PHILIP</t>
  </si>
  <si>
    <t>D. ROSAIAH</t>
  </si>
  <si>
    <t>M. UNCULU</t>
  </si>
  <si>
    <t>G. MALLIKARJUNA RAO</t>
  </si>
  <si>
    <t>A. VENKATESWARAO</t>
  </si>
  <si>
    <t>ANDHE SRINIVASARAO</t>
  </si>
  <si>
    <t>L. RAMBABU</t>
  </si>
  <si>
    <t>D. ABRAHAM</t>
  </si>
  <si>
    <t>K. ELIYA</t>
  </si>
  <si>
    <t>G. SAMBAIAH</t>
  </si>
  <si>
    <t>B. PULLAIAH</t>
  </si>
  <si>
    <t>U. SIVARAMA REDDY</t>
  </si>
  <si>
    <t>CH. RATTHAIAH</t>
  </si>
  <si>
    <t>CHALLA YELEMYA</t>
  </si>
  <si>
    <t>B. YESURATNAM</t>
  </si>
  <si>
    <t>V. APPARAO</t>
  </si>
  <si>
    <t>M. ANJI REDDY</t>
  </si>
  <si>
    <t>G. SAMBASIVARAO</t>
  </si>
  <si>
    <t>A. ADAMU</t>
  </si>
  <si>
    <t>V. SRI RAM MURTHY</t>
  </si>
  <si>
    <t>GARIKIPATI SUBBARAO</t>
  </si>
  <si>
    <t>B. VENKAT RATHAIYYA</t>
  </si>
  <si>
    <t>WINNER-4ac, PIONEER-6ac</t>
  </si>
  <si>
    <t>WINNER-1ac, WARRIOR-2.5ac</t>
  </si>
  <si>
    <t>WINNER-10ac, GOLD-5ac</t>
  </si>
  <si>
    <t>WINNER-1ac, GOLD-1ac</t>
  </si>
  <si>
    <t>NOT YET DECIDED</t>
  </si>
  <si>
    <t xml:space="preserve">NO </t>
  </si>
  <si>
    <t>YAKASIRI SEETHAMMA</t>
  </si>
  <si>
    <t>DANDAMUDI RAVI KUMAR</t>
  </si>
  <si>
    <t>DODA SALMAN</t>
  </si>
  <si>
    <t>UPPALAPU HYMAVATHI</t>
  </si>
  <si>
    <t>LANKAPOTHU SIVA RAMI REDDY</t>
  </si>
  <si>
    <t>YAKASIRI KALYAN CHAKRAVARTHY</t>
  </si>
  <si>
    <t>BIILURI KOTESWARLU</t>
  </si>
  <si>
    <t>UUYURU HARIMADHAVA REDDY</t>
  </si>
  <si>
    <t>CHILAKA ANANDHARAO</t>
  </si>
  <si>
    <t>YADLURI MARTHAMMA</t>
  </si>
  <si>
    <t>VEMPATI VENKATESWARA RAO</t>
  </si>
  <si>
    <t>ARUMBAKA PRAKASH</t>
  </si>
  <si>
    <t>BILLURI SIVA RAMA KRISHNA</t>
  </si>
  <si>
    <t>PULI SRINIVASA RAO</t>
  </si>
  <si>
    <t>P. SITA RAMAIAH</t>
  </si>
  <si>
    <t>PULI GOPAL KRISHNA</t>
  </si>
  <si>
    <t>KOLAKALURI KALYAN</t>
  </si>
  <si>
    <t>K. JEEVANANDHAM</t>
  </si>
  <si>
    <t>KOLAKALURI SRINIVASA</t>
  </si>
  <si>
    <t>K. JOJIBABU</t>
  </si>
  <si>
    <t>KURAPATI SRINIVASA RAO</t>
  </si>
  <si>
    <t>K. RAGAVAYYA</t>
  </si>
  <si>
    <t>PENUMALLI GOWRI SANKHAR</t>
  </si>
  <si>
    <t>P. SAMBA SIVA REDDY</t>
  </si>
  <si>
    <t>HARI SANKHAR</t>
  </si>
  <si>
    <t>BULLA RAJESH</t>
  </si>
  <si>
    <t>B. GURUVAYYA</t>
  </si>
  <si>
    <t>KUCHIPUDI GEORGE</t>
  </si>
  <si>
    <t>K. NOHANU</t>
  </si>
  <si>
    <t>KUCHIPUDI BULLABBAI</t>
  </si>
  <si>
    <t>NANDIPAKA RAJESH</t>
  </si>
  <si>
    <t>N. NAGESWARA RAO</t>
  </si>
  <si>
    <t>MORAMPUDI RAJESH</t>
  </si>
  <si>
    <t>MORAMPUDI VENKAT RATHAMMA</t>
  </si>
  <si>
    <t>M. VEERAIAH</t>
  </si>
  <si>
    <t>TENALI. DASU</t>
  </si>
  <si>
    <t>T. CHINNABBAI</t>
  </si>
  <si>
    <t>TENALI. KRUPA RAO</t>
  </si>
  <si>
    <t>T. RATNAM</t>
  </si>
  <si>
    <t>JAMPALA SARATH BABU</t>
  </si>
  <si>
    <t>J. MOHAN RAO</t>
  </si>
  <si>
    <t>JAMPALA HARI BABU</t>
  </si>
  <si>
    <t>J. VEERABHADRA RAO</t>
  </si>
  <si>
    <t>GOWRNENI ANIL KUMAR</t>
  </si>
  <si>
    <t>G. RAJA MALLISWARA RAO</t>
  </si>
  <si>
    <t>GOWRNENI SARATH</t>
  </si>
  <si>
    <t>G. SAMBASIVA RAO</t>
  </si>
  <si>
    <t>PENUMALLI MOHAN REDDY</t>
  </si>
  <si>
    <t>P. SIVA RAMI REDDY</t>
  </si>
  <si>
    <t>CHALAMCHARLA RAMAKOTI REDDY</t>
  </si>
  <si>
    <t>CH. BALARAMA REDDY</t>
  </si>
  <si>
    <t xml:space="preserve"> MUNIPALLE (PONNUR) VILLAGE SURVEY</t>
  </si>
  <si>
    <t>DANDAMUDI (PONNUR) VILLAGE SURVEY</t>
  </si>
  <si>
    <t>MORAMPUDI (REVENDRAPADU) VILLAGE SURVEY</t>
  </si>
  <si>
    <t>38q</t>
  </si>
  <si>
    <t>40-42q</t>
  </si>
  <si>
    <t>40q</t>
  </si>
  <si>
    <t>40-45q</t>
  </si>
  <si>
    <t>44-45q</t>
  </si>
  <si>
    <t>45q</t>
  </si>
  <si>
    <t xml:space="preserve"> 45q</t>
  </si>
  <si>
    <t xml:space="preserve"> 14q</t>
  </si>
  <si>
    <t xml:space="preserve"> 42q</t>
  </si>
  <si>
    <t>35-38q</t>
  </si>
  <si>
    <t>43-44q</t>
  </si>
  <si>
    <t>24-25q</t>
  </si>
  <si>
    <t xml:space="preserve"> 44q</t>
  </si>
  <si>
    <t xml:space="preserve"> 40-45q</t>
  </si>
  <si>
    <t xml:space="preserve"> 42-45q</t>
  </si>
  <si>
    <t>35q</t>
  </si>
  <si>
    <t xml:space="preserve"> 40-44q</t>
  </si>
  <si>
    <t>36q</t>
  </si>
  <si>
    <t>35-40q</t>
  </si>
  <si>
    <t>GARAPADU VILLAGE SURVEY</t>
  </si>
  <si>
    <t>MOPARTHI SAMBAIAH</t>
  </si>
  <si>
    <t>M. SAMBAIAH</t>
  </si>
  <si>
    <t>M. NARASIMHARAO</t>
  </si>
  <si>
    <t>ALAPATA SAMBASIVARAO</t>
  </si>
  <si>
    <t>MOPARTHI SRINIVASA RAO</t>
  </si>
  <si>
    <t>GOGINENI SUDHAKAR RAO</t>
  </si>
  <si>
    <t>GOGINENI CHANDRASEKHAR RAO</t>
  </si>
  <si>
    <t>GOGINENI RAMA KRISHNA</t>
  </si>
  <si>
    <t>MOPARTHI ARJUN RAO</t>
  </si>
  <si>
    <t>K. VEERANARAYANA</t>
  </si>
  <si>
    <t>M. SIVAIAH</t>
  </si>
  <si>
    <t>M.SAMBASIVARAO</t>
  </si>
  <si>
    <t>MOPARTHI ABBAIAH</t>
  </si>
  <si>
    <t>M. SATISH</t>
  </si>
  <si>
    <t>KANUMURI SAMBASIVA RAO</t>
  </si>
  <si>
    <t>K. KOTESWARAO</t>
  </si>
  <si>
    <t>M. VENKATASUBBAIAH</t>
  </si>
  <si>
    <t>A. VEERAYYA</t>
  </si>
  <si>
    <t>M. VENKETESWAR RAO</t>
  </si>
  <si>
    <t>G. KRISHNA MURTHY</t>
  </si>
  <si>
    <t>G. DENAPATHI</t>
  </si>
  <si>
    <t>K. RAMA KOTTAIAH</t>
  </si>
  <si>
    <t>WINNER-3, GOLD-2</t>
  </si>
  <si>
    <t>WINNER-5, GOLD-1</t>
  </si>
  <si>
    <t>WINNER-8, GOLD-2</t>
  </si>
  <si>
    <t>LINGANENI SATISH</t>
  </si>
  <si>
    <t>37q</t>
  </si>
  <si>
    <t>30-35q</t>
  </si>
  <si>
    <t>33-35q</t>
  </si>
  <si>
    <t>20q</t>
  </si>
  <si>
    <t>WINNER: 35q, GOLD:32q</t>
  </si>
  <si>
    <t>WINNER:45q, GOLD: 38q</t>
  </si>
  <si>
    <t>WINNER: 40q, GOLD: 37q</t>
  </si>
  <si>
    <t>WINNER: 45q, GOLD: 38q</t>
  </si>
  <si>
    <t>WINNER: 40q, WARRIOR: 40q</t>
  </si>
  <si>
    <t>WINNER:40-45q, GOLD: 36q</t>
  </si>
  <si>
    <t>TYPES OF SEEDS</t>
  </si>
  <si>
    <t>PHONE NUMBER</t>
  </si>
  <si>
    <t>ACRES(ac)</t>
  </si>
  <si>
    <t>YIELD PER ACRE(q)</t>
  </si>
  <si>
    <t xml:space="preserve"> WINNER: 44q, PIONEER: 38-40q</t>
  </si>
  <si>
    <t>40-5q</t>
  </si>
  <si>
    <t>AVERAGE</t>
  </si>
  <si>
    <t>40.5q</t>
  </si>
  <si>
    <t>AVERAGE OF ACRES AND YIELD/ACRE</t>
  </si>
  <si>
    <t>ACRE</t>
  </si>
  <si>
    <t>YIELD</t>
  </si>
  <si>
    <t>WARRIOR= 40q</t>
  </si>
  <si>
    <t>GOLD= 37.5q</t>
  </si>
  <si>
    <t>WINNER= 40.74q</t>
  </si>
  <si>
    <t>PIONEER= 39q</t>
  </si>
  <si>
    <t xml:space="preserve"> </t>
  </si>
  <si>
    <t>AVERAGE OF ACRE AND YIELD/ACRE</t>
  </si>
  <si>
    <t>GOLD= 35.33q</t>
  </si>
  <si>
    <t>WINNER= 36.678q</t>
  </si>
  <si>
    <r>
      <t xml:space="preserve">RESULT: WINNER: </t>
    </r>
    <r>
      <rPr>
        <sz val="14"/>
        <color theme="1"/>
        <rFont val="Calibri"/>
        <family val="2"/>
        <scheme val="minor"/>
      </rPr>
      <t xml:space="preserve">THE CROP IS GOOD AND HEALTHY, BUT THE STEMS ARE BENDING </t>
    </r>
  </si>
  <si>
    <r>
      <rPr>
        <b/>
        <sz val="14"/>
        <color theme="1"/>
        <rFont val="Calibri"/>
        <family val="2"/>
        <scheme val="minor"/>
      </rPr>
      <t xml:space="preserve">GOLD: </t>
    </r>
    <r>
      <rPr>
        <sz val="14"/>
        <color theme="1"/>
        <rFont val="Calibri"/>
        <family val="2"/>
        <scheme val="minor"/>
      </rPr>
      <t xml:space="preserve">THERE WAS PROBLEM IN GERMINATION OF SEED </t>
    </r>
  </si>
  <si>
    <r>
      <rPr>
        <b/>
        <sz val="14"/>
        <color theme="1"/>
        <rFont val="Calibri"/>
        <family val="2"/>
        <scheme val="minor"/>
      </rPr>
      <t>RESULT:</t>
    </r>
    <r>
      <rPr>
        <sz val="14"/>
        <color theme="1"/>
        <rFont val="Calibri"/>
        <family val="2"/>
        <scheme val="minor"/>
      </rPr>
      <t xml:space="preserve"> FOR</t>
    </r>
    <r>
      <rPr>
        <b/>
        <sz val="14"/>
        <color theme="1"/>
        <rFont val="Calibri"/>
        <family val="2"/>
        <scheme val="minor"/>
      </rPr>
      <t xml:space="preserve"> WINNER </t>
    </r>
    <r>
      <rPr>
        <sz val="14"/>
        <color theme="1"/>
        <rFont val="Calibri"/>
        <family val="2"/>
        <scheme val="minor"/>
      </rPr>
      <t xml:space="preserve">THE CROP LOOKS HEALTHY, BUT IT IS BENDING AND HAS WEAK STEMS </t>
    </r>
  </si>
  <si>
    <r>
      <t xml:space="preserve">RESULT: FOR WINNER: </t>
    </r>
    <r>
      <rPr>
        <sz val="14"/>
        <color theme="1"/>
        <rFont val="Calibri"/>
        <family val="2"/>
        <scheme val="minor"/>
      </rPr>
      <t>THE CROP IS HEALTHY, BUT THE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STEM IS BENDING. </t>
    </r>
    <r>
      <rPr>
        <b/>
        <sz val="14"/>
        <color theme="1"/>
        <rFont val="Calibri"/>
        <family val="2"/>
        <scheme val="minor"/>
      </rPr>
      <t xml:space="preserve">FOR GOLD: </t>
    </r>
    <r>
      <rPr>
        <sz val="14"/>
        <color theme="1"/>
        <rFont val="Calibri"/>
        <family val="2"/>
        <scheme val="minor"/>
      </rPr>
      <t>THERE IS PROBLEM IN GERMINATION OF SEED</t>
    </r>
  </si>
  <si>
    <r>
      <rPr>
        <b/>
        <sz val="16"/>
        <color theme="1"/>
        <rFont val="Calibri"/>
        <family val="2"/>
        <scheme val="minor"/>
      </rPr>
      <t>RESULT:  FOR WINNER</t>
    </r>
    <r>
      <rPr>
        <sz val="16"/>
        <color theme="1"/>
        <rFont val="Calibri"/>
        <family val="2"/>
        <scheme val="minor"/>
      </rPr>
      <t>THE CROP IS GOOD AND HEALTHY, BUT THE STEM IS BENDING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</si>
</sst>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1" applyNumberFormat="1" applyFont="1" applyAlignment="1">
      <alignment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6" fontId="0" fillId="0" borderId="0" xfId="0" applyNumberFormat="1" applyAlignment="1">
      <alignment horizontal="center"/>
    </xf>
    <xf numFmtId="0" fontId="5" fillId="0" borderId="0" xfId="0" applyFont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10" fillId="2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0" fillId="9" borderId="1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2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6783-4675-4D09-9455-FD5750DABBB4}">
  <dimension ref="A1:J31"/>
  <sheetViews>
    <sheetView tabSelected="1" topLeftCell="A9" workbookViewId="0">
      <selection activeCell="C19" sqref="C19"/>
    </sheetView>
  </sheetViews>
  <sheetFormatPr defaultRowHeight="14.4" x14ac:dyDescent="0.3"/>
  <cols>
    <col min="2" max="2" width="30.5546875" customWidth="1"/>
    <col min="3" max="3" width="28.44140625" customWidth="1"/>
    <col min="4" max="4" width="35.5546875" customWidth="1"/>
    <col min="5" max="5" width="12.88671875" customWidth="1"/>
    <col min="6" max="6" width="17.33203125" customWidth="1"/>
    <col min="7" max="7" width="20.44140625" customWidth="1"/>
    <col min="8" max="8" width="38.33203125" customWidth="1"/>
    <col min="9" max="9" width="33.33203125" customWidth="1"/>
  </cols>
  <sheetData>
    <row r="1" spans="1:10" ht="18" x14ac:dyDescent="0.35">
      <c r="D1" s="22" t="s">
        <v>134</v>
      </c>
      <c r="E1" s="22"/>
      <c r="F1" s="15"/>
      <c r="J1" s="2"/>
    </row>
    <row r="2" spans="1:10" ht="15.6" x14ac:dyDescent="0.3">
      <c r="A2" s="10" t="s">
        <v>0</v>
      </c>
      <c r="B2" s="8" t="s">
        <v>1</v>
      </c>
      <c r="C2" s="8" t="s">
        <v>2</v>
      </c>
      <c r="D2" s="8" t="s">
        <v>194</v>
      </c>
      <c r="E2" s="8" t="s">
        <v>195</v>
      </c>
      <c r="F2" s="8" t="s">
        <v>193</v>
      </c>
      <c r="G2" s="8" t="s">
        <v>196</v>
      </c>
      <c r="H2" s="8" t="s">
        <v>38</v>
      </c>
      <c r="J2" s="2"/>
    </row>
    <row r="3" spans="1:10" x14ac:dyDescent="0.3">
      <c r="A3" s="1">
        <v>1</v>
      </c>
      <c r="B3" s="12" t="s">
        <v>3</v>
      </c>
      <c r="C3" s="13" t="s">
        <v>4</v>
      </c>
      <c r="D3" s="1">
        <v>8179312108</v>
      </c>
      <c r="E3" s="1">
        <v>10</v>
      </c>
      <c r="F3" s="1" t="s">
        <v>5</v>
      </c>
      <c r="G3" s="1" t="s">
        <v>198</v>
      </c>
      <c r="H3" s="1" t="s">
        <v>39</v>
      </c>
      <c r="J3" s="2"/>
    </row>
    <row r="4" spans="1:10" x14ac:dyDescent="0.3">
      <c r="A4" s="1">
        <v>2</v>
      </c>
      <c r="B4" t="s">
        <v>6</v>
      </c>
      <c r="C4" t="s">
        <v>7</v>
      </c>
      <c r="D4" s="1">
        <v>9177538217</v>
      </c>
      <c r="E4" s="1">
        <v>1</v>
      </c>
      <c r="F4" s="1" t="s">
        <v>5</v>
      </c>
      <c r="G4" s="1" t="s">
        <v>137</v>
      </c>
      <c r="H4" s="1" t="s">
        <v>39</v>
      </c>
      <c r="J4" s="2"/>
    </row>
    <row r="5" spans="1:10" x14ac:dyDescent="0.3">
      <c r="A5" s="1">
        <v>3</v>
      </c>
      <c r="B5" t="s">
        <v>8</v>
      </c>
      <c r="C5" t="s">
        <v>9</v>
      </c>
      <c r="D5" s="1">
        <v>9494539588</v>
      </c>
      <c r="E5" s="1">
        <v>10</v>
      </c>
      <c r="F5" s="1" t="s">
        <v>5</v>
      </c>
      <c r="G5" s="1" t="s">
        <v>139</v>
      </c>
      <c r="H5" s="1" t="s">
        <v>39</v>
      </c>
      <c r="J5" s="2"/>
    </row>
    <row r="6" spans="1:10" x14ac:dyDescent="0.3">
      <c r="A6" s="1">
        <v>4</v>
      </c>
      <c r="B6" t="s">
        <v>10</v>
      </c>
      <c r="C6" t="s">
        <v>11</v>
      </c>
      <c r="D6" s="1">
        <v>9963813496</v>
      </c>
      <c r="E6" s="1">
        <v>6</v>
      </c>
      <c r="F6" s="1" t="s">
        <v>5</v>
      </c>
      <c r="G6" s="1" t="s">
        <v>139</v>
      </c>
      <c r="H6" s="1" t="s">
        <v>41</v>
      </c>
      <c r="J6" s="2"/>
    </row>
    <row r="7" spans="1:10" x14ac:dyDescent="0.3">
      <c r="A7" s="1">
        <v>5</v>
      </c>
      <c r="B7" t="s">
        <v>12</v>
      </c>
      <c r="C7" t="s">
        <v>13</v>
      </c>
      <c r="D7" s="1">
        <v>7794965950</v>
      </c>
      <c r="E7" s="1">
        <v>5</v>
      </c>
      <c r="F7" s="1" t="s">
        <v>5</v>
      </c>
      <c r="G7" s="1" t="s">
        <v>139</v>
      </c>
      <c r="H7" s="1" t="s">
        <v>40</v>
      </c>
      <c r="J7" s="2"/>
    </row>
    <row r="8" spans="1:10" x14ac:dyDescent="0.3">
      <c r="A8" s="1">
        <v>6</v>
      </c>
      <c r="B8" t="s">
        <v>14</v>
      </c>
      <c r="C8" t="s">
        <v>15</v>
      </c>
      <c r="D8" s="1">
        <v>9100839328</v>
      </c>
      <c r="E8" s="1">
        <v>2.5</v>
      </c>
      <c r="F8" s="1" t="s">
        <v>5</v>
      </c>
      <c r="G8" s="1" t="s">
        <v>138</v>
      </c>
      <c r="H8" s="1" t="s">
        <v>39</v>
      </c>
      <c r="J8" s="2"/>
    </row>
    <row r="9" spans="1:10" x14ac:dyDescent="0.3">
      <c r="A9" s="1">
        <v>7</v>
      </c>
      <c r="B9" t="s">
        <v>16</v>
      </c>
      <c r="C9" t="s">
        <v>17</v>
      </c>
      <c r="D9" s="1">
        <v>9603684201</v>
      </c>
      <c r="E9" s="1">
        <v>1.4</v>
      </c>
      <c r="F9" s="1" t="s">
        <v>5</v>
      </c>
      <c r="G9" s="1" t="s">
        <v>139</v>
      </c>
      <c r="H9" s="1" t="s">
        <v>39</v>
      </c>
      <c r="J9" s="2"/>
    </row>
    <row r="10" spans="1:10" x14ac:dyDescent="0.3">
      <c r="A10" s="1">
        <v>8</v>
      </c>
      <c r="B10" t="s">
        <v>18</v>
      </c>
      <c r="C10" t="s">
        <v>19</v>
      </c>
      <c r="D10" s="1">
        <v>9491186343</v>
      </c>
      <c r="E10" s="1">
        <v>5</v>
      </c>
      <c r="F10" s="1" t="s">
        <v>5</v>
      </c>
      <c r="G10" s="1" t="s">
        <v>138</v>
      </c>
      <c r="H10" s="1" t="s">
        <v>40</v>
      </c>
      <c r="J10" s="2"/>
    </row>
    <row r="11" spans="1:10" x14ac:dyDescent="0.3">
      <c r="A11" s="1">
        <v>9</v>
      </c>
      <c r="B11" t="s">
        <v>20</v>
      </c>
      <c r="C11" t="s">
        <v>21</v>
      </c>
      <c r="D11" s="1">
        <v>9676775454</v>
      </c>
      <c r="E11" s="1">
        <v>8</v>
      </c>
      <c r="F11" s="1" t="s">
        <v>5</v>
      </c>
      <c r="G11" s="1" t="s">
        <v>138</v>
      </c>
      <c r="H11" s="1" t="s">
        <v>39</v>
      </c>
      <c r="J11" s="2"/>
    </row>
    <row r="12" spans="1:10" x14ac:dyDescent="0.3">
      <c r="A12" s="1">
        <v>10</v>
      </c>
      <c r="B12" t="s">
        <v>22</v>
      </c>
      <c r="C12" t="s">
        <v>23</v>
      </c>
      <c r="D12" s="1">
        <v>9705775011</v>
      </c>
      <c r="E12" s="1">
        <v>5.5</v>
      </c>
      <c r="F12" s="1" t="s">
        <v>5</v>
      </c>
      <c r="G12" s="1" t="s">
        <v>139</v>
      </c>
      <c r="H12" s="1" t="s">
        <v>40</v>
      </c>
      <c r="J12" s="2"/>
    </row>
    <row r="13" spans="1:10" x14ac:dyDescent="0.3">
      <c r="A13" s="1">
        <v>11</v>
      </c>
      <c r="B13" t="s">
        <v>24</v>
      </c>
      <c r="C13" t="s">
        <v>25</v>
      </c>
      <c r="D13" s="1">
        <v>7290832070</v>
      </c>
      <c r="E13" s="1">
        <v>4</v>
      </c>
      <c r="F13" s="1" t="s">
        <v>5</v>
      </c>
      <c r="G13" s="1" t="s">
        <v>138</v>
      </c>
      <c r="H13" s="1" t="s">
        <v>39</v>
      </c>
      <c r="J13" s="2"/>
    </row>
    <row r="14" spans="1:10" x14ac:dyDescent="0.3">
      <c r="A14" s="1">
        <v>12</v>
      </c>
      <c r="B14" t="s">
        <v>26</v>
      </c>
      <c r="C14" t="s">
        <v>27</v>
      </c>
      <c r="D14" s="1">
        <v>7382897736</v>
      </c>
      <c r="E14" s="1">
        <v>1.4</v>
      </c>
      <c r="F14" s="1" t="s">
        <v>5</v>
      </c>
      <c r="G14" s="1" t="s">
        <v>139</v>
      </c>
      <c r="H14" s="1" t="s">
        <v>39</v>
      </c>
      <c r="J14" s="2"/>
    </row>
    <row r="15" spans="1:10" x14ac:dyDescent="0.3">
      <c r="A15" s="1">
        <v>13</v>
      </c>
      <c r="B15" t="s">
        <v>28</v>
      </c>
      <c r="C15" t="s">
        <v>29</v>
      </c>
      <c r="D15" s="1">
        <v>9603582096</v>
      </c>
      <c r="E15" s="1">
        <v>5</v>
      </c>
      <c r="F15" s="1" t="s">
        <v>5</v>
      </c>
      <c r="G15" s="1" t="s">
        <v>138</v>
      </c>
      <c r="H15" s="1" t="s">
        <v>39</v>
      </c>
      <c r="J15" s="2"/>
    </row>
    <row r="16" spans="1:10" x14ac:dyDescent="0.3">
      <c r="A16" s="1">
        <v>14</v>
      </c>
      <c r="B16" t="s">
        <v>30</v>
      </c>
      <c r="C16" s="2"/>
      <c r="D16" s="2"/>
      <c r="E16" s="1">
        <v>4</v>
      </c>
      <c r="F16" s="1" t="s">
        <v>31</v>
      </c>
      <c r="G16" s="1" t="s">
        <v>138</v>
      </c>
      <c r="H16" s="1" t="s">
        <v>39</v>
      </c>
      <c r="J16" s="2"/>
    </row>
    <row r="17" spans="1:10" x14ac:dyDescent="0.3">
      <c r="A17" s="1">
        <v>15</v>
      </c>
      <c r="B17" t="s">
        <v>32</v>
      </c>
      <c r="D17" s="2"/>
      <c r="E17" s="1">
        <v>3</v>
      </c>
      <c r="F17" s="1" t="s">
        <v>31</v>
      </c>
      <c r="G17" s="1" t="s">
        <v>139</v>
      </c>
      <c r="H17" s="1" t="s">
        <v>39</v>
      </c>
      <c r="I17" s="2"/>
      <c r="J17" s="2"/>
    </row>
    <row r="18" spans="1:10" x14ac:dyDescent="0.3">
      <c r="A18" s="1">
        <v>16</v>
      </c>
      <c r="B18" t="s">
        <v>33</v>
      </c>
      <c r="E18" s="1">
        <v>5</v>
      </c>
      <c r="F18" s="1" t="s">
        <v>31</v>
      </c>
      <c r="G18" s="1" t="s">
        <v>139</v>
      </c>
      <c r="H18" s="1" t="s">
        <v>39</v>
      </c>
      <c r="J18" s="2"/>
    </row>
    <row r="19" spans="1:10" x14ac:dyDescent="0.3">
      <c r="A19" s="1">
        <v>17</v>
      </c>
      <c r="B19" t="s">
        <v>34</v>
      </c>
      <c r="E19" s="1">
        <v>3</v>
      </c>
      <c r="F19" s="1" t="s">
        <v>31</v>
      </c>
      <c r="G19" s="1" t="s">
        <v>138</v>
      </c>
      <c r="H19" s="1" t="s">
        <v>39</v>
      </c>
      <c r="J19" s="2"/>
    </row>
    <row r="20" spans="1:10" x14ac:dyDescent="0.3">
      <c r="A20" s="1">
        <v>18</v>
      </c>
      <c r="B20" t="s">
        <v>35</v>
      </c>
      <c r="C20" s="8"/>
      <c r="D20" s="8"/>
      <c r="E20" s="1">
        <v>4</v>
      </c>
      <c r="F20" s="1" t="s">
        <v>31</v>
      </c>
      <c r="G20" s="1" t="s">
        <v>139</v>
      </c>
      <c r="H20" s="1" t="s">
        <v>40</v>
      </c>
      <c r="J20" s="2"/>
    </row>
    <row r="21" spans="1:10" x14ac:dyDescent="0.3">
      <c r="A21" s="1">
        <v>19</v>
      </c>
      <c r="B21" t="s">
        <v>36</v>
      </c>
      <c r="C21" s="1"/>
      <c r="E21" s="1">
        <v>5</v>
      </c>
      <c r="F21" s="1" t="s">
        <v>31</v>
      </c>
      <c r="G21" s="1" t="s">
        <v>139</v>
      </c>
      <c r="H21" s="1" t="s">
        <v>41</v>
      </c>
      <c r="J21" s="2"/>
    </row>
    <row r="22" spans="1:10" x14ac:dyDescent="0.3">
      <c r="A22" s="1">
        <v>20</v>
      </c>
      <c r="B22" t="s">
        <v>37</v>
      </c>
      <c r="C22" s="1"/>
      <c r="E22" s="1">
        <v>5</v>
      </c>
      <c r="F22" s="1" t="s">
        <v>31</v>
      </c>
      <c r="G22" s="1" t="s">
        <v>139</v>
      </c>
      <c r="H22" s="1" t="s">
        <v>41</v>
      </c>
      <c r="J22" s="2"/>
    </row>
    <row r="23" spans="1:10" x14ac:dyDescent="0.3">
      <c r="A23" s="2"/>
      <c r="C23" s="1"/>
      <c r="D23" s="20" t="s">
        <v>199</v>
      </c>
      <c r="E23" s="20">
        <f>AVERAGE(E3:E22)</f>
        <v>4.6899999999999995</v>
      </c>
      <c r="F23" s="20"/>
      <c r="G23" s="19" t="s">
        <v>200</v>
      </c>
      <c r="J23" s="2"/>
    </row>
    <row r="24" spans="1:10" x14ac:dyDescent="0.3">
      <c r="A24" s="2"/>
      <c r="B24" s="2"/>
      <c r="C24" s="1"/>
      <c r="J24" s="2"/>
    </row>
    <row r="25" spans="1:10" x14ac:dyDescent="0.3">
      <c r="A25" s="2"/>
      <c r="B25" s="2"/>
      <c r="C25" s="1"/>
      <c r="J25" s="2"/>
    </row>
    <row r="26" spans="1:10" x14ac:dyDescent="0.3">
      <c r="A26" s="2"/>
      <c r="B26" s="2"/>
      <c r="C26" s="1"/>
      <c r="J26" s="2"/>
    </row>
    <row r="27" spans="1:10" x14ac:dyDescent="0.3">
      <c r="A27" s="2"/>
      <c r="B27" s="2"/>
      <c r="C27" s="1"/>
      <c r="J27" s="2"/>
    </row>
    <row r="28" spans="1:10" x14ac:dyDescent="0.3">
      <c r="C28" s="1"/>
    </row>
    <row r="29" spans="1:10" x14ac:dyDescent="0.3">
      <c r="C29" s="1"/>
    </row>
    <row r="30" spans="1:10" x14ac:dyDescent="0.3">
      <c r="C30" s="1"/>
    </row>
    <row r="31" spans="1:10" ht="21" x14ac:dyDescent="0.4">
      <c r="B31" s="21" t="s">
        <v>216</v>
      </c>
      <c r="C31" s="21"/>
      <c r="D31" s="21"/>
      <c r="E31" s="21"/>
    </row>
  </sheetData>
  <mergeCells count="2">
    <mergeCell ref="D1:E1"/>
    <mergeCell ref="B31:E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FFC9-CDE1-4636-9159-34507D1A42C2}">
  <dimension ref="A1:K40"/>
  <sheetViews>
    <sheetView topLeftCell="A24" zoomScale="97" zoomScaleNormal="130" workbookViewId="0">
      <selection activeCell="B47" sqref="B47"/>
    </sheetView>
  </sheetViews>
  <sheetFormatPr defaultRowHeight="14.4" x14ac:dyDescent="0.3"/>
  <cols>
    <col min="2" max="2" width="41.5546875" customWidth="1"/>
    <col min="3" max="3" width="35.77734375" customWidth="1"/>
    <col min="4" max="4" width="22.33203125" customWidth="1"/>
    <col min="5" max="5" width="36.21875" customWidth="1"/>
    <col min="6" max="6" width="33.21875" customWidth="1"/>
    <col min="7" max="7" width="31.21875" customWidth="1"/>
    <col min="8" max="8" width="40.109375" customWidth="1"/>
    <col min="9" max="9" width="38.6640625" customWidth="1"/>
  </cols>
  <sheetData>
    <row r="1" spans="1:11" ht="18" x14ac:dyDescent="0.35">
      <c r="A1" s="10"/>
      <c r="B1" s="8"/>
      <c r="C1" s="8"/>
      <c r="D1" s="8"/>
      <c r="E1" s="24" t="s">
        <v>135</v>
      </c>
      <c r="F1" s="24"/>
      <c r="G1" s="15"/>
      <c r="H1" s="8"/>
      <c r="I1" s="3"/>
    </row>
    <row r="2" spans="1:11" ht="15.6" x14ac:dyDescent="0.3">
      <c r="A2" s="10" t="s">
        <v>0</v>
      </c>
      <c r="B2" s="8" t="s">
        <v>1</v>
      </c>
      <c r="C2" s="8" t="s">
        <v>2</v>
      </c>
      <c r="D2" s="8" t="s">
        <v>194</v>
      </c>
      <c r="E2" s="8" t="s">
        <v>195</v>
      </c>
      <c r="F2" s="8" t="s">
        <v>193</v>
      </c>
      <c r="G2" s="8" t="s">
        <v>196</v>
      </c>
      <c r="H2" s="8" t="s">
        <v>38</v>
      </c>
      <c r="I2" s="2"/>
      <c r="J2" s="3"/>
      <c r="K2" s="3"/>
    </row>
    <row r="3" spans="1:11" x14ac:dyDescent="0.3">
      <c r="A3" s="1">
        <v>1</v>
      </c>
      <c r="B3" s="5" t="s">
        <v>51</v>
      </c>
      <c r="C3" t="s">
        <v>52</v>
      </c>
      <c r="D3" s="1">
        <v>6303952743</v>
      </c>
      <c r="E3" s="1">
        <v>15</v>
      </c>
      <c r="F3" s="1" t="s">
        <v>79</v>
      </c>
      <c r="G3" s="1" t="s">
        <v>189</v>
      </c>
      <c r="H3" s="11" t="s">
        <v>81</v>
      </c>
      <c r="I3" s="2"/>
    </row>
    <row r="4" spans="1:11" x14ac:dyDescent="0.3">
      <c r="A4" s="1">
        <v>2</v>
      </c>
      <c r="B4" s="6" t="s">
        <v>45</v>
      </c>
      <c r="C4" t="s">
        <v>53</v>
      </c>
      <c r="D4" s="1">
        <v>9848172382</v>
      </c>
      <c r="E4" s="1">
        <v>2</v>
      </c>
      <c r="F4" s="1" t="s">
        <v>31</v>
      </c>
      <c r="G4" s="1" t="s">
        <v>138</v>
      </c>
      <c r="H4" s="1" t="s">
        <v>39</v>
      </c>
      <c r="I4" s="2"/>
    </row>
    <row r="5" spans="1:11" x14ac:dyDescent="0.3">
      <c r="A5" s="1">
        <v>3</v>
      </c>
      <c r="B5" s="7" t="s">
        <v>83</v>
      </c>
      <c r="C5" t="s">
        <v>54</v>
      </c>
      <c r="D5" s="1">
        <v>7286046477</v>
      </c>
      <c r="E5" s="1">
        <v>1.45</v>
      </c>
      <c r="F5" s="1" t="s">
        <v>31</v>
      </c>
      <c r="G5" s="1" t="s">
        <v>139</v>
      </c>
      <c r="H5" s="1" t="s">
        <v>39</v>
      </c>
      <c r="I5" s="2"/>
    </row>
    <row r="6" spans="1:11" x14ac:dyDescent="0.3">
      <c r="A6" s="1">
        <v>4</v>
      </c>
      <c r="B6" s="5" t="s">
        <v>84</v>
      </c>
      <c r="C6" t="s">
        <v>55</v>
      </c>
      <c r="D6" s="1">
        <v>9618183692</v>
      </c>
      <c r="E6" s="1">
        <v>1.5</v>
      </c>
      <c r="F6" s="1" t="s">
        <v>31</v>
      </c>
      <c r="G6" s="1" t="s">
        <v>142</v>
      </c>
      <c r="H6" s="1" t="s">
        <v>39</v>
      </c>
      <c r="I6" s="2"/>
    </row>
    <row r="7" spans="1:11" x14ac:dyDescent="0.3">
      <c r="A7" s="1">
        <v>5</v>
      </c>
      <c r="B7" s="5" t="s">
        <v>85</v>
      </c>
      <c r="C7" t="s">
        <v>56</v>
      </c>
      <c r="D7" s="1">
        <v>9959883372</v>
      </c>
      <c r="E7" s="1">
        <v>2</v>
      </c>
      <c r="F7" s="1" t="s">
        <v>80</v>
      </c>
      <c r="G7" s="1" t="s">
        <v>190</v>
      </c>
      <c r="H7" s="1" t="s">
        <v>81</v>
      </c>
      <c r="I7" s="2"/>
    </row>
    <row r="8" spans="1:11" x14ac:dyDescent="0.3">
      <c r="A8" s="1">
        <v>6</v>
      </c>
      <c r="B8" s="5" t="s">
        <v>42</v>
      </c>
      <c r="C8" t="s">
        <v>57</v>
      </c>
      <c r="D8" s="1">
        <v>9885383944</v>
      </c>
      <c r="E8" s="1">
        <v>0.3</v>
      </c>
      <c r="F8" s="1" t="s">
        <v>31</v>
      </c>
      <c r="G8" s="1" t="s">
        <v>144</v>
      </c>
      <c r="H8" s="1" t="s">
        <v>40</v>
      </c>
      <c r="I8" s="2"/>
    </row>
    <row r="9" spans="1:11" x14ac:dyDescent="0.3">
      <c r="A9" s="1">
        <v>7</v>
      </c>
      <c r="B9" s="5" t="s">
        <v>86</v>
      </c>
      <c r="C9" t="s">
        <v>58</v>
      </c>
      <c r="D9" s="1">
        <v>9014381115</v>
      </c>
      <c r="E9" s="1">
        <v>1</v>
      </c>
      <c r="F9" s="1" t="s">
        <v>31</v>
      </c>
      <c r="G9" s="1" t="s">
        <v>145</v>
      </c>
      <c r="H9" s="1" t="s">
        <v>39</v>
      </c>
      <c r="I9" s="2"/>
    </row>
    <row r="10" spans="1:11" ht="15.6" customHeight="1" x14ac:dyDescent="0.3">
      <c r="A10" s="1">
        <v>8</v>
      </c>
      <c r="B10" s="5" t="s">
        <v>60</v>
      </c>
      <c r="C10" t="s">
        <v>59</v>
      </c>
      <c r="D10" s="1">
        <v>9963653401</v>
      </c>
      <c r="E10" s="1">
        <v>1</v>
      </c>
      <c r="F10" s="1" t="s">
        <v>31</v>
      </c>
      <c r="G10" s="1" t="s">
        <v>146</v>
      </c>
      <c r="H10" s="1" t="s">
        <v>40</v>
      </c>
      <c r="I10" s="2"/>
    </row>
    <row r="11" spans="1:11" x14ac:dyDescent="0.3">
      <c r="A11" s="1">
        <v>9</v>
      </c>
      <c r="B11" s="5" t="s">
        <v>87</v>
      </c>
      <c r="C11" t="s">
        <v>61</v>
      </c>
      <c r="D11" s="1">
        <v>7569700795</v>
      </c>
      <c r="E11" s="1">
        <v>1.4</v>
      </c>
      <c r="F11" s="1" t="s">
        <v>31</v>
      </c>
      <c r="G11" s="1" t="s">
        <v>139</v>
      </c>
      <c r="H11" s="1" t="s">
        <v>39</v>
      </c>
      <c r="I11" s="2"/>
    </row>
    <row r="12" spans="1:11" x14ac:dyDescent="0.3">
      <c r="A12" s="1">
        <v>10</v>
      </c>
      <c r="B12" s="5" t="s">
        <v>88</v>
      </c>
      <c r="D12" s="1">
        <v>9381531730</v>
      </c>
      <c r="E12" s="1">
        <v>3</v>
      </c>
      <c r="F12" s="1" t="s">
        <v>31</v>
      </c>
      <c r="G12" s="1" t="s">
        <v>142</v>
      </c>
      <c r="H12" s="1" t="s">
        <v>39</v>
      </c>
      <c r="I12" s="2"/>
    </row>
    <row r="13" spans="1:11" x14ac:dyDescent="0.3">
      <c r="A13" s="1">
        <v>11</v>
      </c>
      <c r="B13" s="5" t="s">
        <v>43</v>
      </c>
      <c r="C13" t="s">
        <v>62</v>
      </c>
      <c r="D13" s="1">
        <v>9160818133</v>
      </c>
      <c r="E13" s="1">
        <v>1.4</v>
      </c>
      <c r="F13" s="1" t="s">
        <v>31</v>
      </c>
      <c r="G13" s="1" t="s">
        <v>139</v>
      </c>
      <c r="H13" s="1" t="s">
        <v>39</v>
      </c>
      <c r="I13" s="2"/>
    </row>
    <row r="14" spans="1:11" x14ac:dyDescent="0.3">
      <c r="A14" s="1">
        <v>12</v>
      </c>
      <c r="B14" s="5" t="s">
        <v>46</v>
      </c>
      <c r="C14" t="s">
        <v>63</v>
      </c>
      <c r="D14" s="1">
        <v>8106245221</v>
      </c>
      <c r="E14" s="1">
        <v>2.5</v>
      </c>
      <c r="F14" s="1" t="s">
        <v>31</v>
      </c>
      <c r="G14" s="1" t="s">
        <v>139</v>
      </c>
      <c r="H14" s="1" t="s">
        <v>40</v>
      </c>
      <c r="I14" s="2"/>
    </row>
    <row r="15" spans="1:11" x14ac:dyDescent="0.3">
      <c r="A15" s="1">
        <v>13</v>
      </c>
      <c r="B15" s="5" t="s">
        <v>50</v>
      </c>
      <c r="C15" t="s">
        <v>64</v>
      </c>
      <c r="D15" s="1">
        <v>9392859021</v>
      </c>
      <c r="E15" s="1">
        <v>1.5</v>
      </c>
      <c r="F15" s="1" t="s">
        <v>31</v>
      </c>
      <c r="G15" s="1" t="s">
        <v>147</v>
      </c>
      <c r="H15" s="1" t="s">
        <v>39</v>
      </c>
      <c r="I15" s="2"/>
    </row>
    <row r="16" spans="1:11" x14ac:dyDescent="0.3">
      <c r="A16" s="1">
        <v>14</v>
      </c>
      <c r="B16" s="5" t="s">
        <v>89</v>
      </c>
      <c r="C16" t="s">
        <v>65</v>
      </c>
      <c r="D16" s="1">
        <v>9866942956</v>
      </c>
      <c r="E16" s="1">
        <v>15</v>
      </c>
      <c r="F16" s="1" t="s">
        <v>31</v>
      </c>
      <c r="G16" s="1" t="s">
        <v>143</v>
      </c>
      <c r="H16" s="1" t="s">
        <v>39</v>
      </c>
      <c r="I16" s="2"/>
    </row>
    <row r="17" spans="1:9" x14ac:dyDescent="0.3">
      <c r="A17" s="1">
        <v>15</v>
      </c>
      <c r="B17" s="5" t="s">
        <v>90</v>
      </c>
      <c r="C17" t="s">
        <v>66</v>
      </c>
      <c r="D17" s="1">
        <v>9618183932</v>
      </c>
      <c r="E17" s="1">
        <v>0.5</v>
      </c>
      <c r="F17" s="1" t="s">
        <v>31</v>
      </c>
      <c r="G17" s="1" t="s">
        <v>148</v>
      </c>
      <c r="H17" s="1" t="s">
        <v>81</v>
      </c>
      <c r="I17" s="2"/>
    </row>
    <row r="18" spans="1:9" x14ac:dyDescent="0.3">
      <c r="A18" s="1">
        <v>16</v>
      </c>
      <c r="B18" s="5" t="s">
        <v>91</v>
      </c>
      <c r="C18" s="7" t="s">
        <v>67</v>
      </c>
      <c r="D18" s="1">
        <v>9912363635</v>
      </c>
      <c r="E18" s="1">
        <v>4</v>
      </c>
      <c r="F18" s="1" t="s">
        <v>31</v>
      </c>
      <c r="G18" s="1" t="s">
        <v>142</v>
      </c>
      <c r="H18" s="1" t="s">
        <v>81</v>
      </c>
      <c r="I18" s="2"/>
    </row>
    <row r="19" spans="1:9" x14ac:dyDescent="0.3">
      <c r="A19" s="1">
        <v>17</v>
      </c>
      <c r="B19" s="5" t="s">
        <v>68</v>
      </c>
      <c r="C19" s="5"/>
      <c r="D19" s="1">
        <v>8186822805</v>
      </c>
      <c r="E19" s="1">
        <v>3.5</v>
      </c>
      <c r="F19" s="1" t="s">
        <v>78</v>
      </c>
      <c r="G19" s="1" t="s">
        <v>191</v>
      </c>
      <c r="H19" s="1" t="s">
        <v>82</v>
      </c>
      <c r="I19" s="2"/>
    </row>
    <row r="20" spans="1:9" x14ac:dyDescent="0.3">
      <c r="A20" s="1">
        <v>18</v>
      </c>
      <c r="B20" s="5" t="s">
        <v>92</v>
      </c>
      <c r="C20" s="5" t="s">
        <v>69</v>
      </c>
      <c r="D20" s="1">
        <v>8790552237</v>
      </c>
      <c r="E20" s="1">
        <v>1.5</v>
      </c>
      <c r="F20" s="1" t="s">
        <v>31</v>
      </c>
      <c r="G20" s="1" t="s">
        <v>149</v>
      </c>
      <c r="H20" s="1" t="s">
        <v>39</v>
      </c>
      <c r="I20" s="2"/>
    </row>
    <row r="21" spans="1:9" x14ac:dyDescent="0.3">
      <c r="A21" s="1">
        <v>19</v>
      </c>
      <c r="B21" s="5" t="s">
        <v>93</v>
      </c>
      <c r="C21" s="5" t="s">
        <v>70</v>
      </c>
      <c r="D21" s="1">
        <v>9490774976</v>
      </c>
      <c r="E21" s="1">
        <v>4</v>
      </c>
      <c r="F21" s="1" t="s">
        <v>31</v>
      </c>
      <c r="G21" s="1" t="s">
        <v>149</v>
      </c>
      <c r="H21" s="1" t="s">
        <v>39</v>
      </c>
      <c r="I21" s="2"/>
    </row>
    <row r="22" spans="1:9" x14ac:dyDescent="0.3">
      <c r="A22" s="1">
        <v>20</v>
      </c>
      <c r="B22" s="5" t="s">
        <v>44</v>
      </c>
      <c r="C22" s="5" t="s">
        <v>71</v>
      </c>
      <c r="D22" s="1">
        <v>9966518826</v>
      </c>
      <c r="E22" s="1">
        <v>2</v>
      </c>
      <c r="F22" s="1" t="s">
        <v>31</v>
      </c>
      <c r="G22" s="1" t="s">
        <v>149</v>
      </c>
      <c r="H22" s="1" t="s">
        <v>39</v>
      </c>
      <c r="I22" s="2"/>
    </row>
    <row r="23" spans="1:9" x14ac:dyDescent="0.3">
      <c r="A23" s="1">
        <v>21</v>
      </c>
      <c r="B23" s="5" t="s">
        <v>47</v>
      </c>
      <c r="C23" s="5" t="s">
        <v>72</v>
      </c>
      <c r="D23" s="1">
        <v>9014830540</v>
      </c>
      <c r="E23" s="1">
        <v>2</v>
      </c>
      <c r="F23" s="1" t="s">
        <v>31</v>
      </c>
      <c r="G23" s="1" t="s">
        <v>141</v>
      </c>
      <c r="H23" s="1" t="s">
        <v>39</v>
      </c>
      <c r="I23" s="2"/>
    </row>
    <row r="24" spans="1:9" x14ac:dyDescent="0.3">
      <c r="A24" s="1">
        <v>22</v>
      </c>
      <c r="B24" s="5" t="s">
        <v>94</v>
      </c>
      <c r="C24" s="5" t="s">
        <v>73</v>
      </c>
      <c r="D24" s="1">
        <v>9491159119</v>
      </c>
      <c r="E24" s="1">
        <v>10</v>
      </c>
      <c r="F24" s="1" t="s">
        <v>77</v>
      </c>
      <c r="G24" s="1" t="s">
        <v>197</v>
      </c>
      <c r="H24" s="1" t="s">
        <v>40</v>
      </c>
      <c r="I24" s="2"/>
    </row>
    <row r="25" spans="1:9" x14ac:dyDescent="0.3">
      <c r="A25" s="1">
        <v>23</v>
      </c>
      <c r="B25" s="5" t="s">
        <v>48</v>
      </c>
      <c r="C25" s="5" t="s">
        <v>74</v>
      </c>
      <c r="D25" s="1">
        <v>6304116976</v>
      </c>
      <c r="E25" s="1">
        <v>1</v>
      </c>
      <c r="F25" s="1" t="s">
        <v>31</v>
      </c>
      <c r="G25" s="1" t="s">
        <v>141</v>
      </c>
      <c r="H25" s="1" t="s">
        <v>39</v>
      </c>
      <c r="I25" s="2"/>
    </row>
    <row r="26" spans="1:9" x14ac:dyDescent="0.3">
      <c r="A26" s="1">
        <v>24</v>
      </c>
      <c r="B26" s="5" t="s">
        <v>49</v>
      </c>
      <c r="C26" s="5" t="s">
        <v>75</v>
      </c>
      <c r="D26" s="1">
        <v>9493440383</v>
      </c>
      <c r="E26" s="1">
        <v>4</v>
      </c>
      <c r="F26" s="1" t="s">
        <v>31</v>
      </c>
      <c r="G26" s="1" t="s">
        <v>141</v>
      </c>
      <c r="H26" s="1" t="s">
        <v>39</v>
      </c>
      <c r="I26" s="2"/>
    </row>
    <row r="27" spans="1:9" x14ac:dyDescent="0.3">
      <c r="A27" s="1">
        <v>25</v>
      </c>
      <c r="B27" s="5" t="s">
        <v>95</v>
      </c>
      <c r="C27" s="5" t="s">
        <v>76</v>
      </c>
      <c r="D27" s="1">
        <v>9701442621</v>
      </c>
      <c r="E27" s="1">
        <v>5</v>
      </c>
      <c r="F27" s="1" t="s">
        <v>31</v>
      </c>
      <c r="G27" s="1" t="s">
        <v>150</v>
      </c>
      <c r="H27" s="1" t="s">
        <v>81</v>
      </c>
      <c r="I27" s="2"/>
    </row>
    <row r="28" spans="1:9" x14ac:dyDescent="0.3">
      <c r="A28" s="4"/>
      <c r="B28" s="2"/>
      <c r="C28" s="9"/>
      <c r="D28" s="2"/>
      <c r="E28" s="2"/>
      <c r="F28" s="4"/>
      <c r="G28" s="4"/>
      <c r="H28" s="2"/>
      <c r="I28" s="2"/>
    </row>
    <row r="29" spans="1:9" x14ac:dyDescent="0.3">
      <c r="A29" s="4"/>
      <c r="B29" s="2"/>
      <c r="C29" s="9"/>
      <c r="D29" s="2"/>
      <c r="E29" s="2"/>
      <c r="F29" s="4"/>
      <c r="G29" s="4"/>
      <c r="H29" s="2"/>
      <c r="I29" s="2"/>
    </row>
    <row r="30" spans="1:9" x14ac:dyDescent="0.3">
      <c r="A30" s="2"/>
      <c r="B30" s="2"/>
      <c r="C30" s="9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9"/>
      <c r="D31" s="2"/>
      <c r="E31" s="2"/>
      <c r="F31" s="2"/>
      <c r="G31" s="2"/>
      <c r="H31" s="2"/>
      <c r="I31" s="2"/>
    </row>
    <row r="32" spans="1:9" ht="18" x14ac:dyDescent="0.35">
      <c r="A32" s="2"/>
      <c r="B32" s="23" t="s">
        <v>215</v>
      </c>
      <c r="C32" s="23"/>
      <c r="D32" s="23"/>
      <c r="E32" s="23"/>
      <c r="F32" s="23"/>
      <c r="G32" s="2"/>
      <c r="H32" s="2"/>
      <c r="I32" s="2"/>
    </row>
    <row r="33" spans="3:6" x14ac:dyDescent="0.3">
      <c r="C33" s="5"/>
    </row>
    <row r="35" spans="3:6" x14ac:dyDescent="0.3">
      <c r="E35" s="25" t="s">
        <v>201</v>
      </c>
      <c r="F35" s="25"/>
    </row>
    <row r="36" spans="3:6" x14ac:dyDescent="0.3">
      <c r="E36" s="16" t="s">
        <v>202</v>
      </c>
      <c r="F36" s="16" t="s">
        <v>203</v>
      </c>
    </row>
    <row r="37" spans="3:6" x14ac:dyDescent="0.3">
      <c r="E37" s="16">
        <f>AVERAGE(E3:E27)</f>
        <v>3.4619999999999997</v>
      </c>
      <c r="F37" s="16" t="s">
        <v>206</v>
      </c>
    </row>
    <row r="38" spans="3:6" x14ac:dyDescent="0.3">
      <c r="E38" s="16"/>
      <c r="F38" s="16" t="s">
        <v>205</v>
      </c>
    </row>
    <row r="39" spans="3:6" x14ac:dyDescent="0.3">
      <c r="E39" s="16"/>
      <c r="F39" s="16" t="s">
        <v>204</v>
      </c>
    </row>
    <row r="40" spans="3:6" x14ac:dyDescent="0.3">
      <c r="E40" s="16"/>
      <c r="F40" s="16" t="s">
        <v>207</v>
      </c>
    </row>
  </sheetData>
  <mergeCells count="3">
    <mergeCell ref="E1:F1"/>
    <mergeCell ref="E35:F35"/>
    <mergeCell ref="B32:F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6E01-7047-404E-8BB4-F652AE6C1B0F}">
  <dimension ref="A1:L32"/>
  <sheetViews>
    <sheetView topLeftCell="A13" zoomScale="98" workbookViewId="0">
      <selection activeCell="B27" sqref="B27:E27"/>
    </sheetView>
  </sheetViews>
  <sheetFormatPr defaultRowHeight="14.4" x14ac:dyDescent="0.3"/>
  <cols>
    <col min="2" max="2" width="32.5546875" customWidth="1"/>
    <col min="3" max="3" width="32" customWidth="1"/>
    <col min="4" max="4" width="23.44140625" customWidth="1"/>
    <col min="5" max="5" width="20.77734375" customWidth="1"/>
    <col min="6" max="6" width="22.33203125" customWidth="1"/>
    <col min="7" max="7" width="25.33203125" customWidth="1"/>
    <col min="8" max="8" width="43.21875" customWidth="1"/>
    <col min="9" max="9" width="31.77734375" customWidth="1"/>
  </cols>
  <sheetData>
    <row r="1" spans="1:12" ht="18" x14ac:dyDescent="0.35">
      <c r="D1" s="28" t="s">
        <v>136</v>
      </c>
      <c r="E1" s="28"/>
      <c r="F1" s="28"/>
      <c r="J1" s="26"/>
      <c r="K1" s="26"/>
      <c r="L1" s="26"/>
    </row>
    <row r="3" spans="1:12" x14ac:dyDescent="0.3">
      <c r="A3" s="8" t="s">
        <v>0</v>
      </c>
      <c r="B3" s="8" t="s">
        <v>1</v>
      </c>
      <c r="C3" s="8" t="s">
        <v>2</v>
      </c>
      <c r="D3" s="8" t="s">
        <v>194</v>
      </c>
      <c r="E3" s="8" t="s">
        <v>195</v>
      </c>
      <c r="F3" s="8" t="s">
        <v>193</v>
      </c>
      <c r="G3" s="8" t="s">
        <v>196</v>
      </c>
      <c r="H3" s="8" t="s">
        <v>38</v>
      </c>
    </row>
    <row r="4" spans="1:12" x14ac:dyDescent="0.3">
      <c r="A4" s="1">
        <v>1</v>
      </c>
      <c r="B4" t="s">
        <v>96</v>
      </c>
      <c r="C4" t="s">
        <v>97</v>
      </c>
      <c r="D4" s="1">
        <v>9849548812</v>
      </c>
      <c r="E4" s="1">
        <v>12</v>
      </c>
      <c r="F4" s="1" t="s">
        <v>31</v>
      </c>
      <c r="G4" s="1" t="s">
        <v>151</v>
      </c>
      <c r="H4" s="1" t="s">
        <v>39</v>
      </c>
    </row>
    <row r="5" spans="1:12" x14ac:dyDescent="0.3">
      <c r="A5" s="1">
        <v>2</v>
      </c>
      <c r="B5" t="s">
        <v>98</v>
      </c>
      <c r="C5" t="s">
        <v>97</v>
      </c>
      <c r="D5" s="1">
        <v>9989015865</v>
      </c>
      <c r="E5" s="1">
        <v>5</v>
      </c>
      <c r="F5" s="1" t="s">
        <v>31</v>
      </c>
      <c r="G5" s="1" t="s">
        <v>139</v>
      </c>
      <c r="H5" s="1" t="s">
        <v>39</v>
      </c>
    </row>
    <row r="6" spans="1:12" x14ac:dyDescent="0.3">
      <c r="A6" s="1">
        <v>3</v>
      </c>
      <c r="B6" t="s">
        <v>99</v>
      </c>
      <c r="C6" t="s">
        <v>100</v>
      </c>
      <c r="D6" s="1">
        <v>6300125757</v>
      </c>
      <c r="E6" s="1">
        <v>3.25</v>
      </c>
      <c r="F6" s="1" t="s">
        <v>31</v>
      </c>
      <c r="G6" s="1" t="s">
        <v>145</v>
      </c>
      <c r="H6" s="1" t="s">
        <v>39</v>
      </c>
      <c r="I6" s="1"/>
    </row>
    <row r="7" spans="1:12" x14ac:dyDescent="0.3">
      <c r="A7" s="1">
        <v>4</v>
      </c>
      <c r="B7" t="s">
        <v>101</v>
      </c>
      <c r="C7" t="s">
        <v>102</v>
      </c>
      <c r="D7" s="1">
        <v>9642655532</v>
      </c>
      <c r="E7" s="1">
        <v>3</v>
      </c>
      <c r="F7" s="1" t="s">
        <v>31</v>
      </c>
      <c r="G7" s="1" t="s">
        <v>139</v>
      </c>
      <c r="H7" s="1" t="s">
        <v>39</v>
      </c>
      <c r="I7" s="1"/>
    </row>
    <row r="8" spans="1:12" x14ac:dyDescent="0.3">
      <c r="A8" s="1">
        <v>5</v>
      </c>
      <c r="B8" t="s">
        <v>103</v>
      </c>
      <c r="C8" t="s">
        <v>104</v>
      </c>
      <c r="D8" s="1">
        <v>8500703999</v>
      </c>
      <c r="E8" s="1">
        <v>6</v>
      </c>
      <c r="F8" s="1" t="s">
        <v>31</v>
      </c>
      <c r="G8" s="1" t="s">
        <v>152</v>
      </c>
      <c r="H8" s="1" t="s">
        <v>40</v>
      </c>
      <c r="I8" s="1"/>
    </row>
    <row r="9" spans="1:12" x14ac:dyDescent="0.3">
      <c r="A9" s="1">
        <v>6</v>
      </c>
      <c r="B9" t="s">
        <v>105</v>
      </c>
      <c r="C9" t="s">
        <v>106</v>
      </c>
      <c r="D9" s="1">
        <v>8985840277</v>
      </c>
      <c r="E9" s="1">
        <v>3</v>
      </c>
      <c r="F9" s="1" t="s">
        <v>31</v>
      </c>
      <c r="G9" s="1" t="s">
        <v>139</v>
      </c>
      <c r="H9" s="1" t="s">
        <v>39</v>
      </c>
      <c r="I9" s="1"/>
    </row>
    <row r="10" spans="1:12" x14ac:dyDescent="0.3">
      <c r="A10" s="1">
        <v>7</v>
      </c>
      <c r="B10" t="s">
        <v>107</v>
      </c>
      <c r="D10" s="1">
        <v>9908460846</v>
      </c>
      <c r="E10" s="1">
        <v>2</v>
      </c>
      <c r="F10" s="1" t="s">
        <v>31</v>
      </c>
      <c r="G10" s="1" t="s">
        <v>139</v>
      </c>
      <c r="H10" s="1" t="s">
        <v>81</v>
      </c>
      <c r="I10" s="1"/>
    </row>
    <row r="11" spans="1:12" x14ac:dyDescent="0.3">
      <c r="A11" s="1">
        <v>8</v>
      </c>
      <c r="B11" t="s">
        <v>108</v>
      </c>
      <c r="C11" t="s">
        <v>109</v>
      </c>
      <c r="D11" s="1">
        <v>9346614944</v>
      </c>
      <c r="E11" s="1">
        <v>2.2000000000000002</v>
      </c>
      <c r="F11" s="1" t="s">
        <v>31</v>
      </c>
      <c r="G11" s="1" t="s">
        <v>153</v>
      </c>
      <c r="H11" s="1" t="s">
        <v>39</v>
      </c>
    </row>
    <row r="12" spans="1:12" x14ac:dyDescent="0.3">
      <c r="A12" s="1">
        <v>9</v>
      </c>
      <c r="B12" t="s">
        <v>110</v>
      </c>
      <c r="C12" t="s">
        <v>111</v>
      </c>
      <c r="D12" s="1">
        <v>9989773869</v>
      </c>
      <c r="E12" s="1">
        <v>2.5</v>
      </c>
      <c r="F12" s="1" t="s">
        <v>31</v>
      </c>
      <c r="G12" s="1" t="s">
        <v>139</v>
      </c>
      <c r="H12" s="1" t="s">
        <v>81</v>
      </c>
    </row>
    <row r="13" spans="1:12" x14ac:dyDescent="0.3">
      <c r="A13" s="1">
        <v>10</v>
      </c>
      <c r="B13" t="s">
        <v>112</v>
      </c>
      <c r="C13" t="s">
        <v>111</v>
      </c>
      <c r="D13" s="1">
        <v>9966283315</v>
      </c>
      <c r="E13" s="1">
        <v>4</v>
      </c>
      <c r="F13" s="1" t="s">
        <v>31</v>
      </c>
      <c r="G13" s="1" t="s">
        <v>139</v>
      </c>
      <c r="H13" s="1" t="s">
        <v>40</v>
      </c>
    </row>
    <row r="14" spans="1:12" x14ac:dyDescent="0.3">
      <c r="A14" s="1">
        <v>11</v>
      </c>
      <c r="B14" t="s">
        <v>113</v>
      </c>
      <c r="C14" t="s">
        <v>114</v>
      </c>
      <c r="D14" s="1">
        <v>9676348402</v>
      </c>
      <c r="E14" s="1">
        <v>4</v>
      </c>
      <c r="F14" s="1" t="s">
        <v>31</v>
      </c>
      <c r="G14" s="1" t="s">
        <v>139</v>
      </c>
      <c r="H14" s="1" t="s">
        <v>39</v>
      </c>
    </row>
    <row r="15" spans="1:12" x14ac:dyDescent="0.3">
      <c r="A15" s="1">
        <v>12</v>
      </c>
      <c r="B15" t="s">
        <v>115</v>
      </c>
      <c r="D15" s="1">
        <v>8886747162</v>
      </c>
      <c r="E15" s="1">
        <v>1.5</v>
      </c>
      <c r="F15" s="1" t="s">
        <v>31</v>
      </c>
      <c r="G15" s="1" t="s">
        <v>139</v>
      </c>
      <c r="H15" s="1" t="s">
        <v>39</v>
      </c>
    </row>
    <row r="16" spans="1:12" x14ac:dyDescent="0.3">
      <c r="A16" s="1">
        <v>13</v>
      </c>
      <c r="B16" t="s">
        <v>116</v>
      </c>
      <c r="C16" t="s">
        <v>117</v>
      </c>
      <c r="D16" s="1">
        <v>9703538497</v>
      </c>
      <c r="E16" s="1">
        <v>2</v>
      </c>
      <c r="F16" s="1" t="s">
        <v>31</v>
      </c>
      <c r="G16" s="1" t="s">
        <v>139</v>
      </c>
      <c r="H16" s="1" t="s">
        <v>39</v>
      </c>
    </row>
    <row r="17" spans="1:8" x14ac:dyDescent="0.3">
      <c r="A17" s="1">
        <v>14</v>
      </c>
      <c r="B17" t="s">
        <v>118</v>
      </c>
      <c r="C17" t="s">
        <v>119</v>
      </c>
      <c r="D17" s="1">
        <v>9966485148</v>
      </c>
      <c r="E17" s="1">
        <v>3</v>
      </c>
      <c r="F17" s="1" t="s">
        <v>31</v>
      </c>
      <c r="G17" s="1" t="s">
        <v>139</v>
      </c>
      <c r="H17" s="1" t="s">
        <v>39</v>
      </c>
    </row>
    <row r="18" spans="1:8" x14ac:dyDescent="0.3">
      <c r="A18" s="1">
        <v>15</v>
      </c>
      <c r="B18" t="s">
        <v>120</v>
      </c>
      <c r="C18" t="s">
        <v>121</v>
      </c>
      <c r="D18" s="1">
        <v>9949253348</v>
      </c>
      <c r="E18" s="1">
        <v>1</v>
      </c>
      <c r="F18" s="1" t="s">
        <v>31</v>
      </c>
      <c r="G18" s="1" t="s">
        <v>140</v>
      </c>
      <c r="H18" s="1" t="s">
        <v>39</v>
      </c>
    </row>
    <row r="19" spans="1:8" x14ac:dyDescent="0.3">
      <c r="A19" s="1">
        <v>16</v>
      </c>
      <c r="B19" t="s">
        <v>122</v>
      </c>
      <c r="C19" t="s">
        <v>123</v>
      </c>
      <c r="D19" s="1">
        <v>9030105133</v>
      </c>
      <c r="E19" s="1">
        <v>1</v>
      </c>
      <c r="F19" s="1" t="s">
        <v>31</v>
      </c>
      <c r="G19" s="1" t="s">
        <v>152</v>
      </c>
      <c r="H19" s="1" t="s">
        <v>81</v>
      </c>
    </row>
    <row r="20" spans="1:8" x14ac:dyDescent="0.3">
      <c r="A20" s="1">
        <v>17</v>
      </c>
      <c r="B20" t="s">
        <v>124</v>
      </c>
      <c r="C20" t="s">
        <v>125</v>
      </c>
      <c r="D20" s="1">
        <v>9000322860</v>
      </c>
      <c r="E20" s="1">
        <v>15</v>
      </c>
      <c r="F20" s="1" t="s">
        <v>31</v>
      </c>
      <c r="G20" s="1" t="s">
        <v>154</v>
      </c>
      <c r="H20" s="1" t="s">
        <v>81</v>
      </c>
    </row>
    <row r="21" spans="1:8" x14ac:dyDescent="0.3">
      <c r="A21" s="1">
        <v>18</v>
      </c>
      <c r="B21" t="s">
        <v>126</v>
      </c>
      <c r="C21" t="s">
        <v>127</v>
      </c>
      <c r="D21" s="1">
        <v>9666625805</v>
      </c>
      <c r="E21" s="1">
        <v>7</v>
      </c>
      <c r="F21" s="1" t="s">
        <v>31</v>
      </c>
      <c r="G21" s="1" t="s">
        <v>152</v>
      </c>
      <c r="H21" s="1" t="s">
        <v>82</v>
      </c>
    </row>
    <row r="22" spans="1:8" x14ac:dyDescent="0.3">
      <c r="A22" s="1">
        <v>19</v>
      </c>
      <c r="B22" t="s">
        <v>128</v>
      </c>
      <c r="C22" t="s">
        <v>129</v>
      </c>
      <c r="D22" s="1">
        <v>9908444810</v>
      </c>
      <c r="E22" s="1">
        <v>11</v>
      </c>
      <c r="F22" s="1" t="s">
        <v>31</v>
      </c>
      <c r="G22" s="1" t="s">
        <v>155</v>
      </c>
      <c r="H22" s="1" t="s">
        <v>40</v>
      </c>
    </row>
    <row r="23" spans="1:8" x14ac:dyDescent="0.3">
      <c r="A23" s="1">
        <v>20</v>
      </c>
      <c r="B23" t="s">
        <v>130</v>
      </c>
      <c r="C23" t="s">
        <v>131</v>
      </c>
      <c r="D23" s="1">
        <v>9290284532</v>
      </c>
      <c r="E23" s="1">
        <v>2</v>
      </c>
      <c r="F23" s="1" t="s">
        <v>31</v>
      </c>
      <c r="G23" s="1" t="s">
        <v>154</v>
      </c>
      <c r="H23" s="1" t="s">
        <v>40</v>
      </c>
    </row>
    <row r="24" spans="1:8" x14ac:dyDescent="0.3">
      <c r="A24" s="1">
        <v>21</v>
      </c>
      <c r="B24" t="s">
        <v>132</v>
      </c>
      <c r="C24" t="s">
        <v>133</v>
      </c>
      <c r="D24" s="1">
        <v>9704249645</v>
      </c>
      <c r="E24" s="1">
        <v>4</v>
      </c>
      <c r="F24" s="1" t="s">
        <v>31</v>
      </c>
      <c r="G24" s="1" t="s">
        <v>140</v>
      </c>
      <c r="H24" s="1" t="s">
        <v>39</v>
      </c>
    </row>
    <row r="25" spans="1:8" x14ac:dyDescent="0.3">
      <c r="A25" s="1"/>
      <c r="D25" s="1"/>
    </row>
    <row r="26" spans="1:8" x14ac:dyDescent="0.3">
      <c r="A26" s="1"/>
    </row>
    <row r="27" spans="1:8" ht="18" x14ac:dyDescent="0.35">
      <c r="B27" s="27" t="s">
        <v>214</v>
      </c>
      <c r="C27" s="27"/>
      <c r="D27" s="27"/>
      <c r="E27" s="34"/>
    </row>
    <row r="29" spans="1:8" x14ac:dyDescent="0.3">
      <c r="E29" s="17" t="s">
        <v>208</v>
      </c>
      <c r="F29" s="29" t="s">
        <v>209</v>
      </c>
      <c r="G29" s="29"/>
    </row>
    <row r="30" spans="1:8" x14ac:dyDescent="0.3">
      <c r="F30" s="18" t="s">
        <v>202</v>
      </c>
      <c r="G30" s="18" t="s">
        <v>203</v>
      </c>
    </row>
    <row r="31" spans="1:8" x14ac:dyDescent="0.3">
      <c r="F31" s="18">
        <f>AVERAGE(E4:E24)</f>
        <v>4.4976190476190476</v>
      </c>
      <c r="G31" s="18">
        <v>39.375</v>
      </c>
    </row>
    <row r="32" spans="1:8" x14ac:dyDescent="0.3">
      <c r="F32" s="1"/>
      <c r="G32" s="1"/>
    </row>
  </sheetData>
  <mergeCells count="4">
    <mergeCell ref="J1:L1"/>
    <mergeCell ref="D1:F1"/>
    <mergeCell ref="F29:G29"/>
    <mergeCell ref="B27:E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288A-E109-4DA6-A06C-4D9562995636}">
  <dimension ref="A1:H28"/>
  <sheetViews>
    <sheetView topLeftCell="A2" zoomScale="86" workbookViewId="0">
      <selection activeCell="C21" sqref="C21"/>
    </sheetView>
  </sheetViews>
  <sheetFormatPr defaultRowHeight="14.4" x14ac:dyDescent="0.3"/>
  <cols>
    <col min="2" max="2" width="34.88671875" customWidth="1"/>
    <col min="3" max="3" width="40" customWidth="1"/>
    <col min="4" max="4" width="23.77734375" customWidth="1"/>
    <col min="5" max="5" width="17.6640625" customWidth="1"/>
    <col min="6" max="6" width="30.6640625" customWidth="1"/>
    <col min="7" max="7" width="26.5546875" customWidth="1"/>
    <col min="8" max="8" width="36.21875" customWidth="1"/>
  </cols>
  <sheetData>
    <row r="1" spans="1:8" ht="21" x14ac:dyDescent="0.4">
      <c r="D1" s="30" t="s">
        <v>156</v>
      </c>
      <c r="E1" s="30"/>
    </row>
    <row r="3" spans="1:8" x14ac:dyDescent="0.3">
      <c r="A3" s="8" t="s">
        <v>0</v>
      </c>
      <c r="B3" s="8" t="s">
        <v>1</v>
      </c>
      <c r="C3" s="8" t="s">
        <v>2</v>
      </c>
      <c r="D3" s="8" t="s">
        <v>194</v>
      </c>
      <c r="E3" s="8" t="s">
        <v>195</v>
      </c>
      <c r="F3" s="8" t="s">
        <v>193</v>
      </c>
      <c r="G3" s="8" t="s">
        <v>196</v>
      </c>
      <c r="H3" s="8" t="s">
        <v>38</v>
      </c>
    </row>
    <row r="4" spans="1:8" x14ac:dyDescent="0.3">
      <c r="A4">
        <v>1</v>
      </c>
      <c r="B4" t="s">
        <v>157</v>
      </c>
      <c r="C4" t="s">
        <v>167</v>
      </c>
      <c r="D4" s="1">
        <v>7993072734</v>
      </c>
      <c r="E4" s="1">
        <v>5</v>
      </c>
      <c r="F4" s="1" t="s">
        <v>31</v>
      </c>
      <c r="G4" s="1" t="s">
        <v>155</v>
      </c>
      <c r="H4" s="1" t="s">
        <v>81</v>
      </c>
    </row>
    <row r="5" spans="1:8" x14ac:dyDescent="0.3">
      <c r="A5">
        <v>2</v>
      </c>
      <c r="B5" t="s">
        <v>182</v>
      </c>
      <c r="D5" s="1">
        <v>8886733666</v>
      </c>
      <c r="E5" s="1">
        <v>5</v>
      </c>
      <c r="F5" s="1" t="s">
        <v>31</v>
      </c>
      <c r="G5" s="1" t="s">
        <v>155</v>
      </c>
      <c r="H5" s="1" t="s">
        <v>39</v>
      </c>
    </row>
    <row r="6" spans="1:8" x14ac:dyDescent="0.3">
      <c r="A6">
        <v>3</v>
      </c>
      <c r="B6" t="s">
        <v>167</v>
      </c>
      <c r="C6" t="s">
        <v>158</v>
      </c>
      <c r="D6" s="1">
        <v>9704472346</v>
      </c>
      <c r="E6" s="1">
        <v>5</v>
      </c>
      <c r="F6" s="1" t="s">
        <v>31</v>
      </c>
      <c r="G6" s="1" t="s">
        <v>155</v>
      </c>
      <c r="H6" s="1" t="s">
        <v>81</v>
      </c>
    </row>
    <row r="7" spans="1:8" x14ac:dyDescent="0.3">
      <c r="A7">
        <v>4</v>
      </c>
      <c r="B7" t="s">
        <v>170</v>
      </c>
      <c r="D7" s="1">
        <v>9618182832</v>
      </c>
      <c r="E7" s="1">
        <v>3</v>
      </c>
      <c r="F7" s="1" t="s">
        <v>31</v>
      </c>
      <c r="G7" s="1" t="s">
        <v>152</v>
      </c>
      <c r="H7" s="1" t="s">
        <v>82</v>
      </c>
    </row>
    <row r="8" spans="1:8" x14ac:dyDescent="0.3">
      <c r="A8">
        <v>5</v>
      </c>
      <c r="B8" t="s">
        <v>169</v>
      </c>
      <c r="C8" t="s">
        <v>168</v>
      </c>
      <c r="D8" s="1">
        <v>9948707399</v>
      </c>
      <c r="E8" s="1">
        <v>5</v>
      </c>
      <c r="F8" s="1" t="s">
        <v>31</v>
      </c>
      <c r="G8" s="1" t="s">
        <v>152</v>
      </c>
      <c r="H8" s="1" t="s">
        <v>39</v>
      </c>
    </row>
    <row r="9" spans="1:8" x14ac:dyDescent="0.3">
      <c r="A9">
        <v>6</v>
      </c>
      <c r="B9" t="s">
        <v>171</v>
      </c>
      <c r="C9" t="s">
        <v>172</v>
      </c>
      <c r="D9" s="1">
        <v>9010040745</v>
      </c>
      <c r="E9" s="1">
        <v>5</v>
      </c>
      <c r="F9" s="14" t="s">
        <v>179</v>
      </c>
      <c r="G9" s="1" t="s">
        <v>187</v>
      </c>
      <c r="H9" s="1" t="s">
        <v>40</v>
      </c>
    </row>
    <row r="10" spans="1:8" x14ac:dyDescent="0.3">
      <c r="A10">
        <v>7</v>
      </c>
      <c r="B10" t="s">
        <v>159</v>
      </c>
      <c r="C10" t="s">
        <v>173</v>
      </c>
      <c r="D10" s="1">
        <v>9640898138</v>
      </c>
      <c r="E10" s="1">
        <v>4</v>
      </c>
      <c r="F10" s="1" t="s">
        <v>31</v>
      </c>
      <c r="G10" s="1" t="s">
        <v>184</v>
      </c>
      <c r="H10" s="1" t="s">
        <v>40</v>
      </c>
    </row>
    <row r="11" spans="1:8" x14ac:dyDescent="0.3">
      <c r="A11">
        <v>8</v>
      </c>
      <c r="B11" t="s">
        <v>160</v>
      </c>
      <c r="C11" t="s">
        <v>174</v>
      </c>
      <c r="D11" s="1">
        <v>9494653904</v>
      </c>
      <c r="E11" s="1">
        <v>2</v>
      </c>
      <c r="F11" s="1" t="s">
        <v>31</v>
      </c>
      <c r="G11" s="1" t="s">
        <v>183</v>
      </c>
      <c r="H11" s="1" t="s">
        <v>81</v>
      </c>
    </row>
    <row r="12" spans="1:8" x14ac:dyDescent="0.3">
      <c r="A12">
        <v>9</v>
      </c>
      <c r="B12" t="s">
        <v>161</v>
      </c>
      <c r="C12" t="s">
        <v>175</v>
      </c>
      <c r="D12" s="1">
        <v>9948234349</v>
      </c>
      <c r="E12" s="1">
        <v>6</v>
      </c>
      <c r="F12" s="1" t="s">
        <v>180</v>
      </c>
      <c r="G12" s="1" t="s">
        <v>192</v>
      </c>
      <c r="H12" s="1" t="s">
        <v>39</v>
      </c>
    </row>
    <row r="13" spans="1:8" x14ac:dyDescent="0.3">
      <c r="A13">
        <v>10</v>
      </c>
      <c r="B13" t="s">
        <v>162</v>
      </c>
      <c r="C13" t="s">
        <v>64</v>
      </c>
      <c r="D13" s="1">
        <v>9848025253</v>
      </c>
      <c r="E13" s="1">
        <v>3</v>
      </c>
      <c r="F13" s="1" t="s">
        <v>31</v>
      </c>
      <c r="G13" s="1" t="s">
        <v>185</v>
      </c>
      <c r="H13" s="1" t="s">
        <v>40</v>
      </c>
    </row>
    <row r="14" spans="1:8" x14ac:dyDescent="0.3">
      <c r="A14">
        <v>11</v>
      </c>
      <c r="B14" t="s">
        <v>163</v>
      </c>
      <c r="C14" t="s">
        <v>176</v>
      </c>
      <c r="D14" s="1">
        <v>9948549959</v>
      </c>
      <c r="E14" s="1">
        <v>4</v>
      </c>
      <c r="F14" s="1" t="s">
        <v>31</v>
      </c>
      <c r="G14" s="1" t="s">
        <v>142</v>
      </c>
      <c r="H14" s="1" t="s">
        <v>39</v>
      </c>
    </row>
    <row r="15" spans="1:8" x14ac:dyDescent="0.3">
      <c r="A15">
        <v>12</v>
      </c>
      <c r="B15" t="s">
        <v>164</v>
      </c>
      <c r="C15" t="s">
        <v>177</v>
      </c>
      <c r="D15" s="1">
        <v>9640108881</v>
      </c>
      <c r="E15" s="1">
        <v>10</v>
      </c>
      <c r="F15" s="1" t="s">
        <v>181</v>
      </c>
      <c r="G15" s="1" t="s">
        <v>188</v>
      </c>
      <c r="H15" s="1" t="s">
        <v>39</v>
      </c>
    </row>
    <row r="16" spans="1:8" x14ac:dyDescent="0.3">
      <c r="A16">
        <v>13</v>
      </c>
      <c r="B16" t="s">
        <v>165</v>
      </c>
      <c r="D16" s="1">
        <v>9963243873</v>
      </c>
      <c r="E16" s="1">
        <v>0.5</v>
      </c>
      <c r="F16" s="1" t="s">
        <v>31</v>
      </c>
      <c r="G16" s="1" t="s">
        <v>186</v>
      </c>
      <c r="H16" s="1" t="s">
        <v>39</v>
      </c>
    </row>
    <row r="17" spans="1:8" x14ac:dyDescent="0.3">
      <c r="A17">
        <v>14</v>
      </c>
      <c r="B17" t="s">
        <v>166</v>
      </c>
      <c r="C17" t="s">
        <v>178</v>
      </c>
      <c r="D17" s="1">
        <v>9618361961</v>
      </c>
      <c r="E17" s="1">
        <v>2</v>
      </c>
      <c r="F17" s="1" t="s">
        <v>31</v>
      </c>
      <c r="G17" s="1" t="s">
        <v>139</v>
      </c>
      <c r="H17" s="1" t="s">
        <v>39</v>
      </c>
    </row>
    <row r="21" spans="1:8" x14ac:dyDescent="0.3">
      <c r="G21" s="32" t="s">
        <v>209</v>
      </c>
      <c r="H21" s="32"/>
    </row>
    <row r="22" spans="1:8" x14ac:dyDescent="0.3">
      <c r="G22" s="19" t="s">
        <v>202</v>
      </c>
      <c r="H22" s="19" t="s">
        <v>203</v>
      </c>
    </row>
    <row r="23" spans="1:8" x14ac:dyDescent="0.3">
      <c r="G23" s="19">
        <f>AVERAGE(E4:E17)</f>
        <v>4.25</v>
      </c>
      <c r="H23" s="19" t="s">
        <v>211</v>
      </c>
    </row>
    <row r="24" spans="1:8" x14ac:dyDescent="0.3">
      <c r="G24" s="19"/>
      <c r="H24" s="19" t="s">
        <v>210</v>
      </c>
    </row>
    <row r="27" spans="1:8" ht="18" x14ac:dyDescent="0.35">
      <c r="B27" s="31" t="s">
        <v>212</v>
      </c>
      <c r="C27" s="31"/>
      <c r="D27" s="31"/>
    </row>
    <row r="28" spans="1:8" ht="18" x14ac:dyDescent="0.35">
      <c r="B28" s="33" t="s">
        <v>213</v>
      </c>
      <c r="C28" s="33"/>
      <c r="D28" s="35"/>
    </row>
  </sheetData>
  <mergeCells count="4">
    <mergeCell ref="D1:E1"/>
    <mergeCell ref="B27:D27"/>
    <mergeCell ref="G21:H21"/>
    <mergeCell ref="B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Solomonu Raju Vunnam</dc:creator>
  <cp:lastModifiedBy>Solomonu Raju Vunnam</cp:lastModifiedBy>
  <dcterms:created xsi:type="dcterms:W3CDTF">2025-07-30T14:00:22Z</dcterms:created>
  <dcterms:modified xsi:type="dcterms:W3CDTF">2025-08-15T11:57:31Z</dcterms:modified>
</cp:coreProperties>
</file>